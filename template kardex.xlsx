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O4" i="1" l="1"/>
  <c r="P3" i="1"/>
  <c r="O3" i="1"/>
  <c r="L4" i="1"/>
  <c r="L5" i="1" l="1"/>
  <c r="L6" i="1" s="1"/>
  <c r="K4" i="1"/>
  <c r="M4" i="1" s="1"/>
  <c r="M3" i="1"/>
  <c r="K5" i="1" l="1"/>
  <c r="K6" i="1" l="1"/>
  <c r="M6" i="1" s="1"/>
  <c r="M5" i="1"/>
</calcChain>
</file>

<file path=xl/sharedStrings.xml><?xml version="1.0" encoding="utf-8"?>
<sst xmlns="http://schemas.openxmlformats.org/spreadsheetml/2006/main" count="25" uniqueCount="22">
  <si>
    <t>Data lançamento</t>
  </si>
  <si>
    <t>Data referência</t>
  </si>
  <si>
    <t>compra</t>
  </si>
  <si>
    <t>desdobramento</t>
  </si>
  <si>
    <t>Qtd_entrada</t>
  </si>
  <si>
    <t>Qtd_saida</t>
  </si>
  <si>
    <t>Valor_movimento</t>
  </si>
  <si>
    <t>Saldo qtd final</t>
  </si>
  <si>
    <t>Saldo vlr final</t>
  </si>
  <si>
    <t>Custo médio</t>
  </si>
  <si>
    <t>Operacao</t>
  </si>
  <si>
    <t>Compra</t>
  </si>
  <si>
    <t>Nota</t>
  </si>
  <si>
    <t>Ticker</t>
  </si>
  <si>
    <t>Indice</t>
  </si>
  <si>
    <t>CPTS11</t>
  </si>
  <si>
    <t>grupamento</t>
  </si>
  <si>
    <t>qtd_entrada será menor que 0</t>
  </si>
  <si>
    <t>,</t>
  </si>
  <si>
    <t>Então</t>
  </si>
  <si>
    <t>valor movimento = saldo vlr final * -1</t>
  </si>
  <si>
    <t>qtd_entrada resulta em fração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</si>
</sst>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2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3"/>
  <sheetViews>
    <sheetView tabSelected="1" workbookViewId="0">
      <selection activeCell="O4" sqref="O4"/>
    </sheetView>
  </sheetViews>
  <sheetFormatPr defaultRowHeight="15" x14ac:dyDescent="0.25"/>
  <cols>
    <col min="3" max="3" width="14.7109375" bestFit="1" customWidth="1"/>
    <col min="4" max="4" width="16" bestFit="1" customWidth="1"/>
    <col min="5" max="7" width="16" customWidth="1"/>
    <col min="8" max="8" width="9.85546875" bestFit="1" customWidth="1"/>
    <col min="9" max="9" width="12.140625" bestFit="1" customWidth="1"/>
    <col min="10" max="10" width="17.28515625" bestFit="1" customWidth="1"/>
    <col min="11" max="11" width="13.85546875" bestFit="1" customWidth="1"/>
    <col min="12" max="12" width="13.140625" bestFit="1" customWidth="1"/>
    <col min="13" max="13" width="12.140625" bestFit="1" customWidth="1"/>
  </cols>
  <sheetData>
    <row r="2" spans="2:17" x14ac:dyDescent="0.25">
      <c r="B2" t="s">
        <v>14</v>
      </c>
      <c r="C2" t="s">
        <v>1</v>
      </c>
      <c r="D2" t="s">
        <v>0</v>
      </c>
      <c r="E2" t="s">
        <v>10</v>
      </c>
      <c r="F2" t="s">
        <v>12</v>
      </c>
      <c r="G2" t="s">
        <v>13</v>
      </c>
      <c r="H2" t="s">
        <v>5</v>
      </c>
      <c r="I2" t="s">
        <v>4</v>
      </c>
      <c r="J2" t="s">
        <v>6</v>
      </c>
      <c r="K2" t="s">
        <v>7</v>
      </c>
      <c r="L2" t="s">
        <v>8</v>
      </c>
      <c r="M2" t="s">
        <v>9</v>
      </c>
    </row>
    <row r="3" spans="2:17" x14ac:dyDescent="0.25">
      <c r="B3">
        <v>1</v>
      </c>
      <c r="C3" s="1">
        <v>46021</v>
      </c>
      <c r="D3" s="1">
        <v>46021</v>
      </c>
      <c r="E3" t="s">
        <v>2</v>
      </c>
      <c r="F3">
        <v>123213</v>
      </c>
      <c r="G3" t="s">
        <v>15</v>
      </c>
      <c r="I3" s="2">
        <v>12</v>
      </c>
      <c r="J3">
        <v>100</v>
      </c>
      <c r="K3">
        <v>12</v>
      </c>
      <c r="L3">
        <v>100</v>
      </c>
      <c r="M3" s="4">
        <f>L3/K3</f>
        <v>8.3333333333333339</v>
      </c>
      <c r="O3" s="6">
        <f>-M3*(H4-I4*10)</f>
        <v>-16.666666666666668</v>
      </c>
      <c r="P3" s="6">
        <f>M3*I4*10</f>
        <v>83.333333333333343</v>
      </c>
      <c r="Q3" s="6"/>
    </row>
    <row r="4" spans="2:17" x14ac:dyDescent="0.25">
      <c r="B4">
        <v>2</v>
      </c>
      <c r="C4" s="1">
        <v>46022</v>
      </c>
      <c r="D4" s="1">
        <v>46022</v>
      </c>
      <c r="E4" t="s">
        <v>16</v>
      </c>
      <c r="G4" t="s">
        <v>15</v>
      </c>
      <c r="H4" s="2">
        <v>12</v>
      </c>
      <c r="I4" s="5">
        <v>1</v>
      </c>
      <c r="J4">
        <v>-100</v>
      </c>
      <c r="K4" s="3">
        <f>K3-H4+I4</f>
        <v>1</v>
      </c>
      <c r="L4">
        <f>L3+J4</f>
        <v>0</v>
      </c>
      <c r="M4" s="4">
        <f>IFERROR(L4/K4,0)</f>
        <v>0</v>
      </c>
      <c r="O4">
        <f>P3/I4</f>
        <v>83.333333333333343</v>
      </c>
    </row>
    <row r="5" spans="2:17" x14ac:dyDescent="0.25">
      <c r="B5">
        <v>3</v>
      </c>
      <c r="C5" s="1">
        <v>46020</v>
      </c>
      <c r="D5" s="1">
        <v>45932</v>
      </c>
      <c r="E5" t="s">
        <v>11</v>
      </c>
      <c r="F5">
        <v>321321</v>
      </c>
      <c r="G5" t="s">
        <v>15</v>
      </c>
      <c r="I5">
        <v>2</v>
      </c>
      <c r="J5">
        <v>222</v>
      </c>
      <c r="K5" s="3">
        <f>K4-H5+I5</f>
        <v>3</v>
      </c>
      <c r="L5">
        <f>L4+J5</f>
        <v>222</v>
      </c>
      <c r="M5" s="4">
        <f>IFERROR(L5/K5,0)</f>
        <v>74</v>
      </c>
    </row>
    <row r="6" spans="2:17" x14ac:dyDescent="0.25">
      <c r="B6">
        <v>4</v>
      </c>
      <c r="C6" s="1">
        <v>46022</v>
      </c>
      <c r="D6" s="1">
        <v>46022</v>
      </c>
      <c r="E6" t="s">
        <v>3</v>
      </c>
      <c r="G6" t="s">
        <v>15</v>
      </c>
      <c r="H6" s="2">
        <v>2</v>
      </c>
      <c r="I6" s="2">
        <v>20</v>
      </c>
      <c r="J6">
        <v>200</v>
      </c>
      <c r="K6" s="3">
        <f>K5-H6+I6</f>
        <v>21</v>
      </c>
      <c r="L6">
        <f>L5</f>
        <v>222</v>
      </c>
      <c r="M6" s="4">
        <f>L6/K6</f>
        <v>10.571428571428571</v>
      </c>
    </row>
    <row r="11" spans="2:17" x14ac:dyDescent="0.25">
      <c r="J11">
        <v>1</v>
      </c>
      <c r="K11" t="s">
        <v>17</v>
      </c>
    </row>
    <row r="12" spans="2:17" x14ac:dyDescent="0.25">
      <c r="J12" t="s">
        <v>18</v>
      </c>
      <c r="K12" t="s">
        <v>19</v>
      </c>
      <c r="L12" t="s">
        <v>20</v>
      </c>
    </row>
    <row r="13" spans="2:17" x14ac:dyDescent="0.25">
      <c r="J13">
        <v>2</v>
      </c>
      <c r="K13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ZAMBONI</dc:creator>
  <cp:lastModifiedBy>ZAMBONI</cp:lastModifiedBy>
  <dcterms:created xsi:type="dcterms:W3CDTF">2026-05-19T23:10:58Z</dcterms:created>
  <dcterms:modified xsi:type="dcterms:W3CDTF">2026-06-01T11:26:53Z</dcterms:modified>
</cp:coreProperties>
</file>