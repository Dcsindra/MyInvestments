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K7" i="1" l="1"/>
  <c r="H7" i="1"/>
  <c r="J7" i="1"/>
</calcChain>
</file>

<file path=xl/sharedStrings.xml><?xml version="1.0" encoding="utf-8"?>
<sst xmlns="http://schemas.openxmlformats.org/spreadsheetml/2006/main" count="51" uniqueCount="33">
  <si>
    <t>docnum</t>
  </si>
  <si>
    <t>itemnum</t>
  </si>
  <si>
    <t>negociacao</t>
  </si>
  <si>
    <t>tp_operacao</t>
  </si>
  <si>
    <t>id_ticker</t>
  </si>
  <si>
    <t>quantidade</t>
  </si>
  <si>
    <t>preco</t>
  </si>
  <si>
    <t>valor_total</t>
  </si>
  <si>
    <t>tp_contabil</t>
  </si>
  <si>
    <t>C</t>
  </si>
  <si>
    <t>CPTS11</t>
  </si>
  <si>
    <t>D</t>
  </si>
  <si>
    <t>V</t>
  </si>
  <si>
    <t>Ano Base</t>
  </si>
  <si>
    <t>Bens e Direitos</t>
  </si>
  <si>
    <t>Cliente</t>
  </si>
  <si>
    <t>Ações e Fundos imobiliários</t>
  </si>
  <si>
    <t>Ticker</t>
  </si>
  <si>
    <t xml:space="preserve">Nome </t>
  </si>
  <si>
    <t>Razão Social</t>
  </si>
  <si>
    <t>CNPJ</t>
  </si>
  <si>
    <t>Quantidade</t>
  </si>
  <si>
    <t>Valor Total</t>
  </si>
  <si>
    <t>Custo Médio</t>
  </si>
  <si>
    <t>Vendas Realizadas</t>
  </si>
  <si>
    <t>calculado select</t>
  </si>
  <si>
    <t>método registro de notas</t>
  </si>
  <si>
    <t>Rendimentos Isentos e Não tributáveis</t>
  </si>
  <si>
    <t>Tipo de Rend.</t>
  </si>
  <si>
    <t>Valor</t>
  </si>
  <si>
    <t>*Lucros e dividendos de ações e rendimentos de FIIs</t>
  </si>
  <si>
    <t>Rendimentos sujeitos a tributação exclusiva/definitiva</t>
  </si>
  <si>
    <t>*JCP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</si>
</sst>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7"/>
  <sheetViews>
    <sheetView workbookViewId="0">
      <selection activeCell="A3" sqref="A3"/>
    </sheetView>
  </sheetViews>
  <sheetFormatPr defaultRowHeight="15" x14ac:dyDescent="0.25"/>
  <sheetData>
    <row r="3" spans="3:11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3:11" x14ac:dyDescent="0.25">
      <c r="C4">
        <v>123456</v>
      </c>
      <c r="D4">
        <v>2</v>
      </c>
      <c r="E4">
        <v>1</v>
      </c>
      <c r="F4" t="s">
        <v>9</v>
      </c>
      <c r="G4" t="s">
        <v>10</v>
      </c>
      <c r="H4">
        <v>10</v>
      </c>
      <c r="I4">
        <v>7.59</v>
      </c>
      <c r="J4">
        <v>75.900000000000006</v>
      </c>
      <c r="K4" t="s">
        <v>11</v>
      </c>
    </row>
    <row r="5" spans="3:11" x14ac:dyDescent="0.25">
      <c r="C5">
        <v>123458</v>
      </c>
      <c r="D5">
        <v>5</v>
      </c>
      <c r="E5">
        <v>1</v>
      </c>
      <c r="F5" t="s">
        <v>9</v>
      </c>
      <c r="G5" t="s">
        <v>10</v>
      </c>
      <c r="H5">
        <v>15</v>
      </c>
      <c r="I5">
        <v>8.1</v>
      </c>
      <c r="J5">
        <v>121.5</v>
      </c>
      <c r="K5" t="s">
        <v>11</v>
      </c>
    </row>
    <row r="6" spans="3:11" x14ac:dyDescent="0.25">
      <c r="C6">
        <v>549376</v>
      </c>
      <c r="D6">
        <v>1</v>
      </c>
      <c r="E6">
        <v>1</v>
      </c>
      <c r="F6" t="s">
        <v>12</v>
      </c>
      <c r="G6" t="s">
        <v>10</v>
      </c>
      <c r="H6">
        <v>-5</v>
      </c>
      <c r="I6">
        <v>12</v>
      </c>
      <c r="J6">
        <v>0</v>
      </c>
      <c r="K6" t="s">
        <v>9</v>
      </c>
    </row>
    <row r="7" spans="3:11" x14ac:dyDescent="0.25">
      <c r="H7">
        <f>SUM(H4:H6)</f>
        <v>20</v>
      </c>
      <c r="J7">
        <f>SUM(J4:J6)</f>
        <v>197.4</v>
      </c>
      <c r="K7">
        <f>J7/H7</f>
        <v>9.870000000000001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19"/>
  <sheetViews>
    <sheetView tabSelected="1" workbookViewId="0">
      <selection activeCell="D17" sqref="D17"/>
    </sheetView>
  </sheetViews>
  <sheetFormatPr defaultRowHeight="15" x14ac:dyDescent="0.25"/>
  <cols>
    <col min="8" max="8" width="11.42578125" bestFit="1" customWidth="1"/>
    <col min="9" max="9" width="10.5703125" bestFit="1" customWidth="1"/>
  </cols>
  <sheetData>
    <row r="3" spans="4:10" x14ac:dyDescent="0.25">
      <c r="D3" t="s">
        <v>13</v>
      </c>
    </row>
    <row r="4" spans="4:10" x14ac:dyDescent="0.25">
      <c r="D4" t="s">
        <v>15</v>
      </c>
    </row>
    <row r="6" spans="4:10" x14ac:dyDescent="0.25">
      <c r="D6" t="s">
        <v>14</v>
      </c>
    </row>
    <row r="7" spans="4:10" x14ac:dyDescent="0.25">
      <c r="D7" t="s">
        <v>16</v>
      </c>
      <c r="J7" t="s">
        <v>25</v>
      </c>
    </row>
    <row r="8" spans="4:10" x14ac:dyDescent="0.25"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</row>
    <row r="10" spans="4:10" x14ac:dyDescent="0.25">
      <c r="D10" t="s">
        <v>24</v>
      </c>
      <c r="J10" t="s">
        <v>26</v>
      </c>
    </row>
    <row r="11" spans="4:10" x14ac:dyDescent="0.25">
      <c r="D11" t="s">
        <v>17</v>
      </c>
      <c r="E11" t="s">
        <v>18</v>
      </c>
      <c r="H11" t="s">
        <v>21</v>
      </c>
      <c r="I11" t="s">
        <v>22</v>
      </c>
      <c r="J11" t="s">
        <v>23</v>
      </c>
    </row>
    <row r="13" spans="4:10" x14ac:dyDescent="0.25">
      <c r="D13" t="s">
        <v>27</v>
      </c>
    </row>
    <row r="14" spans="4:10" x14ac:dyDescent="0.25">
      <c r="D14" t="s">
        <v>17</v>
      </c>
      <c r="E14" t="s">
        <v>19</v>
      </c>
      <c r="F14" t="s">
        <v>20</v>
      </c>
      <c r="G14" t="s">
        <v>28</v>
      </c>
      <c r="H14" t="s">
        <v>29</v>
      </c>
    </row>
    <row r="15" spans="4:10" x14ac:dyDescent="0.25">
      <c r="D15" t="s">
        <v>30</v>
      </c>
    </row>
    <row r="17" spans="4:8" x14ac:dyDescent="0.25">
      <c r="D17" t="s">
        <v>31</v>
      </c>
    </row>
    <row r="18" spans="4:8" x14ac:dyDescent="0.25">
      <c r="D18" t="s">
        <v>17</v>
      </c>
      <c r="E18" t="s">
        <v>19</v>
      </c>
      <c r="F18" t="s">
        <v>20</v>
      </c>
      <c r="G18" t="s">
        <v>28</v>
      </c>
      <c r="H18" t="s">
        <v>29</v>
      </c>
    </row>
    <row r="19" spans="4:8" x14ac:dyDescent="0.25">
      <c r="D19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ZAMBONI</dc:creator>
  <cp:lastModifiedBy>ZAMBONI</cp:lastModifiedBy>
  <dcterms:created xsi:type="dcterms:W3CDTF">2026-04-21T12:31:44Z</dcterms:created>
  <dcterms:modified xsi:type="dcterms:W3CDTF">2026-04-22T00:42:50Z</dcterms:modified>
</cp:coreProperties>
</file>